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dapat\OneDrive\Dhairya files\sem4\Python\practice\"/>
    </mc:Choice>
  </mc:AlternateContent>
  <xr:revisionPtr revIDLastSave="0" documentId="13_ncr:1_{4950179F-902E-496A-89FC-E6ACA29E56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2" i="1" l="1"/>
  <c r="J3" i="1"/>
  <c r="J4" i="1"/>
  <c r="J5" i="1"/>
  <c r="J6" i="1"/>
  <c r="J7" i="1"/>
  <c r="J8" i="1"/>
  <c r="J9" i="1"/>
  <c r="J10" i="1"/>
  <c r="J11" i="1"/>
  <c r="J2" i="1"/>
  <c r="I12" i="1"/>
  <c r="I3" i="1"/>
  <c r="I4" i="1"/>
  <c r="I5" i="1"/>
  <c r="I6" i="1"/>
  <c r="I7" i="1"/>
  <c r="I8" i="1"/>
  <c r="I9" i="1"/>
  <c r="I10" i="1"/>
  <c r="I11" i="1"/>
  <c r="I2" i="1"/>
  <c r="H12" i="1"/>
  <c r="H3" i="1"/>
  <c r="H4" i="1"/>
  <c r="H5" i="1"/>
  <c r="H6" i="1"/>
  <c r="H7" i="1"/>
  <c r="H8" i="1"/>
  <c r="H9" i="1"/>
  <c r="H10" i="1"/>
  <c r="H11" i="1"/>
  <c r="H2" i="1"/>
  <c r="G3" i="1"/>
  <c r="G4" i="1"/>
  <c r="G5" i="1"/>
  <c r="G6" i="1"/>
  <c r="G7" i="1"/>
  <c r="G8" i="1"/>
  <c r="G9" i="1"/>
  <c r="G10" i="1"/>
  <c r="G11" i="1"/>
  <c r="G12" i="1"/>
  <c r="G2" i="1"/>
  <c r="E15" i="1"/>
  <c r="E14" i="1"/>
  <c r="F12" i="1"/>
  <c r="F2" i="1"/>
  <c r="E12" i="1"/>
  <c r="E2" i="1"/>
  <c r="F3" i="1"/>
  <c r="F4" i="1"/>
  <c r="F5" i="1"/>
  <c r="F6" i="1"/>
  <c r="F7" i="1"/>
  <c r="F8" i="1"/>
  <c r="F9" i="1"/>
  <c r="F10" i="1"/>
  <c r="F11" i="1"/>
  <c r="E3" i="1"/>
  <c r="E4" i="1"/>
  <c r="E5" i="1"/>
  <c r="E6" i="1"/>
  <c r="E7" i="1"/>
  <c r="E8" i="1"/>
  <c r="E9" i="1"/>
  <c r="E10" i="1"/>
  <c r="E11" i="1"/>
</calcChain>
</file>

<file path=xl/sharedStrings.xml><?xml version="1.0" encoding="utf-8"?>
<sst xmlns="http://schemas.openxmlformats.org/spreadsheetml/2006/main" count="12" uniqueCount="12">
  <si>
    <t>X</t>
  </si>
  <si>
    <t>Y</t>
  </si>
  <si>
    <t>X'</t>
  </si>
  <si>
    <t>Y'</t>
  </si>
  <si>
    <t>(X-X')(Y-Y')</t>
  </si>
  <si>
    <t>(X-X')**2</t>
  </si>
  <si>
    <t>M</t>
  </si>
  <si>
    <t>C</t>
  </si>
  <si>
    <t>y_pred</t>
  </si>
  <si>
    <t>d = y-y_pred</t>
  </si>
  <si>
    <t>MSE d^2</t>
  </si>
  <si>
    <t>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</si>
</sst>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zoomScale="148" zoomScaleNormal="205" workbookViewId="0">
      <selection activeCell="I14" sqref="I14"/>
    </sheetView>
  </sheetViews>
  <sheetFormatPr defaultRowHeight="15" x14ac:dyDescent="0.25"/>
  <cols>
    <col min="1" max="2" width="3" bestFit="1" customWidth="1"/>
    <col min="3" max="4" width="5.140625" bestFit="1" customWidth="1"/>
    <col min="5" max="5" width="10.42578125" bestFit="1" customWidth="1"/>
    <col min="6" max="6" width="8.85546875" bestFit="1" customWidth="1"/>
    <col min="7" max="7" width="12.5703125" bestFit="1" customWidth="1"/>
    <col min="8" max="8" width="13.28515625" bestFit="1" customWidth="1"/>
    <col min="9" max="10" width="12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9</v>
      </c>
      <c r="I1" t="s">
        <v>10</v>
      </c>
      <c r="J1" t="s">
        <v>11</v>
      </c>
    </row>
    <row r="2" spans="1:10" x14ac:dyDescent="0.25">
      <c r="A2">
        <v>17</v>
      </c>
      <c r="B2">
        <v>57</v>
      </c>
      <c r="C2">
        <v>20.7</v>
      </c>
      <c r="D2">
        <v>58.9</v>
      </c>
      <c r="E2">
        <f>(A2-$C2)*(B2-$D2)</f>
        <v>7.0299999999999931</v>
      </c>
      <c r="F2">
        <f>(A2-C2)^2</f>
        <v>13.689999999999994</v>
      </c>
      <c r="G2">
        <f>(A2*$E$14)+$E$15</f>
        <v>59.799672787742956</v>
      </c>
      <c r="H2">
        <f>B2-G2</f>
        <v>-2.7996727877429564</v>
      </c>
      <c r="I2">
        <f>H2*H2</f>
        <v>7.8381677184284166</v>
      </c>
      <c r="J2">
        <f>ABS(H2)</f>
        <v>2.7996727877429564</v>
      </c>
    </row>
    <row r="3" spans="1:10" x14ac:dyDescent="0.25">
      <c r="A3">
        <v>25</v>
      </c>
      <c r="B3">
        <v>67</v>
      </c>
      <c r="C3">
        <v>20.7</v>
      </c>
      <c r="D3">
        <v>58.9</v>
      </c>
      <c r="E3">
        <f t="shared" ref="E3:E11" si="0">(A3-$C3)*(B3-$D3)</f>
        <v>34.830000000000013</v>
      </c>
      <c r="F3">
        <f t="shared" ref="F3:F11" si="1">(A3-C3)^2</f>
        <v>18.490000000000006</v>
      </c>
      <c r="G3">
        <f t="shared" ref="G3:G12" si="2">(A3*$E$14)+$E$15</f>
        <v>57.854412970210234</v>
      </c>
      <c r="H3">
        <f t="shared" ref="H3:H11" si="3">B3-G3</f>
        <v>9.1455870297897661</v>
      </c>
      <c r="I3">
        <f t="shared" ref="I3:I11" si="4">H3*H3</f>
        <v>83.641762119458789</v>
      </c>
      <c r="J3">
        <f t="shared" ref="J3:J11" si="5">ABS(H3)</f>
        <v>9.1455870297897661</v>
      </c>
    </row>
    <row r="4" spans="1:10" x14ac:dyDescent="0.25">
      <c r="A4">
        <v>12</v>
      </c>
      <c r="B4">
        <v>60</v>
      </c>
      <c r="C4">
        <v>20.7</v>
      </c>
      <c r="D4">
        <v>58.9</v>
      </c>
      <c r="E4">
        <f t="shared" si="0"/>
        <v>-9.5700000000000109</v>
      </c>
      <c r="F4">
        <f t="shared" si="1"/>
        <v>75.689999999999984</v>
      </c>
      <c r="G4">
        <f t="shared" si="2"/>
        <v>61.015460173700909</v>
      </c>
      <c r="H4">
        <f t="shared" si="3"/>
        <v>-1.0154601737009088</v>
      </c>
      <c r="I4">
        <f t="shared" si="4"/>
        <v>1.03115936437268</v>
      </c>
      <c r="J4">
        <f t="shared" si="5"/>
        <v>1.0154601737009088</v>
      </c>
    </row>
    <row r="5" spans="1:10" x14ac:dyDescent="0.25">
      <c r="A5">
        <v>28</v>
      </c>
      <c r="B5">
        <v>54</v>
      </c>
      <c r="C5">
        <v>20.7</v>
      </c>
      <c r="D5">
        <v>58.9</v>
      </c>
      <c r="E5">
        <f t="shared" si="0"/>
        <v>-35.769999999999996</v>
      </c>
      <c r="F5">
        <f t="shared" si="1"/>
        <v>53.290000000000013</v>
      </c>
      <c r="G5">
        <f t="shared" si="2"/>
        <v>57.124940538635457</v>
      </c>
      <c r="H5">
        <f t="shared" si="3"/>
        <v>-3.1249405386354567</v>
      </c>
      <c r="I5">
        <f t="shared" si="4"/>
        <v>9.7652533700072581</v>
      </c>
      <c r="J5">
        <f t="shared" si="5"/>
        <v>3.1249405386354567</v>
      </c>
    </row>
    <row r="6" spans="1:10" x14ac:dyDescent="0.25">
      <c r="A6">
        <v>15</v>
      </c>
      <c r="B6">
        <v>69</v>
      </c>
      <c r="C6">
        <v>20.7</v>
      </c>
      <c r="D6">
        <v>58.9</v>
      </c>
      <c r="E6">
        <f t="shared" si="0"/>
        <v>-57.57</v>
      </c>
      <c r="F6">
        <f t="shared" si="1"/>
        <v>32.489999999999995</v>
      </c>
      <c r="G6">
        <f t="shared" si="2"/>
        <v>60.285987742126139</v>
      </c>
      <c r="H6">
        <f t="shared" si="3"/>
        <v>8.7140122578738612</v>
      </c>
      <c r="I6">
        <f t="shared" si="4"/>
        <v>75.934009630375911</v>
      </c>
      <c r="J6">
        <f t="shared" si="5"/>
        <v>8.7140122578738612</v>
      </c>
    </row>
    <row r="7" spans="1:10" x14ac:dyDescent="0.25">
      <c r="A7">
        <v>18</v>
      </c>
      <c r="B7">
        <v>50</v>
      </c>
      <c r="C7">
        <v>20.7</v>
      </c>
      <c r="D7">
        <v>58.9</v>
      </c>
      <c r="E7">
        <f t="shared" si="0"/>
        <v>24.02999999999999</v>
      </c>
      <c r="F7">
        <f t="shared" si="1"/>
        <v>7.2899999999999965</v>
      </c>
      <c r="G7">
        <f t="shared" si="2"/>
        <v>59.556515310551362</v>
      </c>
      <c r="H7">
        <f t="shared" si="3"/>
        <v>-9.5565153105513616</v>
      </c>
      <c r="I7">
        <f t="shared" si="4"/>
        <v>91.326984880802584</v>
      </c>
      <c r="J7">
        <f t="shared" si="5"/>
        <v>9.5565153105513616</v>
      </c>
    </row>
    <row r="8" spans="1:10" x14ac:dyDescent="0.25">
      <c r="A8">
        <v>20</v>
      </c>
      <c r="B8">
        <v>59</v>
      </c>
      <c r="C8">
        <v>20.7</v>
      </c>
      <c r="D8">
        <v>58.9</v>
      </c>
      <c r="E8">
        <f t="shared" si="0"/>
        <v>-7.0000000000000923E-2</v>
      </c>
      <c r="F8">
        <f t="shared" si="1"/>
        <v>0.48999999999999899</v>
      </c>
      <c r="G8">
        <f t="shared" si="2"/>
        <v>59.070200356168186</v>
      </c>
      <c r="H8">
        <f t="shared" si="3"/>
        <v>-7.0200356168186318E-2</v>
      </c>
      <c r="I8">
        <f t="shared" si="4"/>
        <v>4.9280900061402146E-3</v>
      </c>
      <c r="J8">
        <f t="shared" si="5"/>
        <v>7.0200356168186318E-2</v>
      </c>
    </row>
    <row r="9" spans="1:10" x14ac:dyDescent="0.25">
      <c r="A9">
        <v>21</v>
      </c>
      <c r="B9">
        <v>61</v>
      </c>
      <c r="C9">
        <v>20.7</v>
      </c>
      <c r="D9">
        <v>58.9</v>
      </c>
      <c r="E9">
        <f t="shared" si="0"/>
        <v>0.63000000000000189</v>
      </c>
      <c r="F9">
        <f t="shared" si="1"/>
        <v>9.0000000000000427E-2</v>
      </c>
      <c r="G9">
        <f t="shared" si="2"/>
        <v>58.827042878976592</v>
      </c>
      <c r="H9">
        <f t="shared" si="3"/>
        <v>2.1729571210234084</v>
      </c>
      <c r="I9">
        <f t="shared" si="4"/>
        <v>4.7217426498063393</v>
      </c>
      <c r="J9">
        <f t="shared" si="5"/>
        <v>2.1729571210234084</v>
      </c>
    </row>
    <row r="10" spans="1:10" x14ac:dyDescent="0.25">
      <c r="A10">
        <v>27</v>
      </c>
      <c r="B10">
        <v>57</v>
      </c>
      <c r="C10">
        <v>20.7</v>
      </c>
      <c r="D10">
        <v>58.9</v>
      </c>
      <c r="E10">
        <f t="shared" si="0"/>
        <v>-11.969999999999992</v>
      </c>
      <c r="F10">
        <f t="shared" si="1"/>
        <v>39.690000000000012</v>
      </c>
      <c r="G10">
        <f t="shared" si="2"/>
        <v>57.368098015827051</v>
      </c>
      <c r="H10">
        <f t="shared" si="3"/>
        <v>-0.36809801582705148</v>
      </c>
      <c r="I10">
        <f t="shared" si="4"/>
        <v>0.13549614925581224</v>
      </c>
      <c r="J10">
        <f t="shared" si="5"/>
        <v>0.36809801582705148</v>
      </c>
    </row>
    <row r="11" spans="1:10" x14ac:dyDescent="0.25">
      <c r="A11">
        <v>24</v>
      </c>
      <c r="B11">
        <v>55</v>
      </c>
      <c r="C11">
        <v>20.7</v>
      </c>
      <c r="D11">
        <v>58.9</v>
      </c>
      <c r="E11">
        <f t="shared" si="0"/>
        <v>-12.869999999999997</v>
      </c>
      <c r="F11">
        <f t="shared" si="1"/>
        <v>10.890000000000004</v>
      </c>
      <c r="G11">
        <f t="shared" si="2"/>
        <v>58.097570447401822</v>
      </c>
      <c r="H11">
        <f t="shared" si="3"/>
        <v>-3.0975704474018215</v>
      </c>
      <c r="I11">
        <f t="shared" si="4"/>
        <v>9.5949426766171211</v>
      </c>
      <c r="J11">
        <f t="shared" si="5"/>
        <v>3.0975704474018215</v>
      </c>
    </row>
    <row r="12" spans="1:10" x14ac:dyDescent="0.25">
      <c r="E12">
        <f>SUM(E2:E11)</f>
        <v>-61.3</v>
      </c>
      <c r="F12">
        <f>SUM(F2:F11)</f>
        <v>252.1</v>
      </c>
      <c r="G12">
        <f t="shared" si="2"/>
        <v>63.933349899999996</v>
      </c>
      <c r="H12">
        <f>AVERAGE(H2:H11)</f>
        <v>9.8778659292975138E-6</v>
      </c>
      <c r="I12">
        <f>AVERAGE(I2:I11)</f>
        <v>28.399444664913108</v>
      </c>
      <c r="J12">
        <f>AVERAGE(J2:J11)</f>
        <v>4.0065014038714777</v>
      </c>
    </row>
    <row r="14" spans="1:10" x14ac:dyDescent="0.25">
      <c r="D14" t="s">
        <v>6</v>
      </c>
      <c r="E14">
        <f>E12/F12</f>
        <v>-0.24315747719159064</v>
      </c>
    </row>
    <row r="15" spans="1:10" x14ac:dyDescent="0.25">
      <c r="D15" t="s">
        <v>7</v>
      </c>
      <c r="E15">
        <f>58.9-(-0.243157*20.7)</f>
        <v>63.933349899999996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Dhairya Patel</dc:creator>
  <cp:lastModifiedBy>Dhairya Patel</cp:lastModifiedBy>
  <dcterms:created xsi:type="dcterms:W3CDTF">2015-06-05T18:17:20Z</dcterms:created>
  <dcterms:modified xsi:type="dcterms:W3CDTF">2026-04-10T07:31:59Z</dcterms:modified>
</cp:coreProperties>
</file>